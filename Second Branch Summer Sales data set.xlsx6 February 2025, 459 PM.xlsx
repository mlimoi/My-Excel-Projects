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Pie Chart" sheetId="2" r:id="rId5"/>
    <sheet state="visible" name="Bar Chart" sheetId="3" r:id="rId6"/>
    <sheet state="visible" name="Scatter Plot" sheetId="4" r:id="rId7"/>
    <sheet state="visible" name="Histogram" sheetId="5" r:id="rId8"/>
  </sheets>
  <definedNames/>
  <calcPr/>
  <extLst>
    <ext uri="GoogleSheetsCustomDataVersion2">
      <go:sheetsCustomData xmlns:go="http://customooxmlschemas.google.com/" r:id="rId9" roundtripDataChecksum="9NhkdS1LXl+Y0zGAgHfQy0QJ30Hg8RK4xslJLCnie0E="/>
    </ext>
  </extLst>
</workbook>
</file>

<file path=xl/sharedStrings.xml><?xml version="1.0" encoding="utf-8"?>
<sst xmlns="http://schemas.openxmlformats.org/spreadsheetml/2006/main" count="26" uniqueCount="26">
  <si>
    <t>Product</t>
  </si>
  <si>
    <t>Price per Unit</t>
  </si>
  <si>
    <t>June Sales</t>
  </si>
  <si>
    <t>July Sales</t>
  </si>
  <si>
    <t>August Sales</t>
  </si>
  <si>
    <t>September Sales</t>
  </si>
  <si>
    <t>Total Sales</t>
  </si>
  <si>
    <t>Total Income</t>
  </si>
  <si>
    <t>Apples</t>
  </si>
  <si>
    <t>Bananas</t>
  </si>
  <si>
    <t>Oranges</t>
  </si>
  <si>
    <t>Pineapples</t>
  </si>
  <si>
    <t>Strawberries</t>
  </si>
  <si>
    <t>Grapes</t>
  </si>
  <si>
    <t>Peaches</t>
  </si>
  <si>
    <t>Watermelons</t>
  </si>
  <si>
    <t xml:space="preserve">Average </t>
  </si>
  <si>
    <t>Median</t>
  </si>
  <si>
    <t xml:space="preserve">Variance </t>
  </si>
  <si>
    <t>Stan Dev</t>
  </si>
  <si>
    <t>Range</t>
  </si>
  <si>
    <t>Q1</t>
  </si>
  <si>
    <t>Q3</t>
  </si>
  <si>
    <t>Inter Percen</t>
  </si>
  <si>
    <t>t- test between grapes and watermelons</t>
  </si>
  <si>
    <t xml:space="preserve">Correlation Coefficent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</si>
</sst>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2" fontId="2" numFmtId="164" xfId="0" applyAlignment="1" applyBorder="1" applyFill="1" applyFont="1" applyNumberForma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2" fontId="1" numFmtId="164" xfId="0" applyAlignment="1" applyBorder="1" applyFont="1" applyNumberFormat="1">
      <alignment shrinkToFit="0" vertical="center" wrapText="0"/>
    </xf>
    <xf borderId="0" fillId="4" fontId="3" numFmtId="0" xfId="0" applyFill="1" applyFont="1"/>
    <xf borderId="0" fillId="0" fontId="4" numFmtId="0" xfId="0" applyAlignment="1" applyFont="1">
      <alignment readingOrder="0"/>
    </xf>
    <xf borderId="1" fillId="5" fontId="4" numFmtId="0" xfId="0" applyAlignment="1" applyBorder="1" applyFill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6" fontId="4" numFmtId="0" xfId="0" applyAlignment="1" applyBorder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chartsheet" Target="chartsheets/sheet1.xml"/><Relationship Id="rId6" Type="http://schemas.openxmlformats.org/officeDocument/2006/relationships/chartsheet" Target="chartsheets/sheet2.xml"/><Relationship Id="rId7" Type="http://schemas.openxmlformats.org/officeDocument/2006/relationships/chartsheet" Target="chartsheets/sheet3.xml"/><Relationship Id="rId8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Pt>
            <c:idx val="6"/>
            <c:spPr>
              <a:solidFill>
                <a:srgbClr val="5B90A8"/>
              </a:solidFill>
            </c:spPr>
          </c:dPt>
          <c:dPt>
            <c:idx val="7"/>
            <c:spPr>
              <a:solidFill>
                <a:srgbClr val="F09C7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Dataset!$A$2:$A$9</c:f>
            </c:strRef>
          </c:cat>
          <c:val>
            <c:numRef>
              <c:f>Dataset!$H$2:$H$9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Total sales versus Product's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Dataset!$A$2:$A$9</c:f>
            </c:strRef>
          </c:cat>
          <c:val>
            <c:numRef>
              <c:f>Dataset!$G$2:$G$9</c:f>
              <c:numCache/>
            </c:numRef>
          </c:val>
        </c:ser>
        <c:axId val="484983347"/>
        <c:axId val="92585478"/>
      </c:barChart>
      <c:catAx>
        <c:axId val="4849833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85478"/>
      </c:catAx>
      <c:valAx>
        <c:axId val="925854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9833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vs Price Per Unit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 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Dataset!$B$2:$B$9</c:f>
            </c:numRef>
          </c:xVal>
          <c:yVal>
            <c:numRef>
              <c:f>Dataset!$G$2:$G$9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964875"/>
        <c:axId val="1985576908"/>
      </c:scatterChart>
      <c:valAx>
        <c:axId val="14189648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576908"/>
      </c:valAx>
      <c:valAx>
        <c:axId val="1985576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964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82221993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9811602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1479745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70435831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tables/table1.xml><?xml version="1.0" encoding="utf-8"?>
<table xmlns="http://schemas.openxmlformats.org/spreadsheetml/2006/main" ref="A1:H9" displayName="Table1" name="Table1" id="1">
  <tableColumns count="8">
    <tableColumn name="Product" id="1"/>
    <tableColumn name="Price per Unit" id="2"/>
    <tableColumn name="June Sales" id="3"/>
    <tableColumn name="July Sales" id="4"/>
    <tableColumn name="August Sales" id="5"/>
    <tableColumn name="September Sales" id="6"/>
    <tableColumn name="Total Sales" id="7"/>
    <tableColumn name="Total Income" id="8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0.63"/>
    <col customWidth="1" min="3" max="3" width="18.38"/>
    <col customWidth="1" min="4" max="4" width="17.75"/>
    <col customWidth="1" min="5" max="5" width="20.38"/>
    <col customWidth="1" min="6" max="6" width="23.5"/>
    <col customWidth="1" min="7" max="7" width="18.25"/>
    <col customWidth="1" min="8" max="8" width="19.88"/>
    <col customWidth="1" min="9" max="9" width="34.38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3">
        <v>2.0</v>
      </c>
      <c r="C2" s="4">
        <v>150.0</v>
      </c>
      <c r="D2" s="4">
        <v>170.0</v>
      </c>
      <c r="E2" s="4">
        <v>160.0</v>
      </c>
      <c r="F2" s="4">
        <v>155.0</v>
      </c>
      <c r="G2" s="4">
        <v>635.0</v>
      </c>
      <c r="H2" s="5">
        <v>1270.0</v>
      </c>
      <c r="J2" s="6"/>
    </row>
    <row r="3" ht="14.25" customHeight="1">
      <c r="A3" s="2" t="s">
        <v>9</v>
      </c>
      <c r="B3" s="3">
        <v>1.5</v>
      </c>
      <c r="C3" s="4">
        <v>180.0</v>
      </c>
      <c r="D3" s="4">
        <v>190.0</v>
      </c>
      <c r="E3" s="4">
        <v>170.0</v>
      </c>
      <c r="F3" s="4">
        <v>160.0</v>
      </c>
      <c r="G3" s="4">
        <v>700.0</v>
      </c>
      <c r="H3" s="5">
        <v>1050.0</v>
      </c>
    </row>
    <row r="4" ht="14.25" customHeight="1">
      <c r="A4" s="2" t="s">
        <v>10</v>
      </c>
      <c r="B4" s="3">
        <v>2.5</v>
      </c>
      <c r="C4" s="4">
        <v>120.0</v>
      </c>
      <c r="D4" s="4">
        <v>140.0</v>
      </c>
      <c r="E4" s="4">
        <v>130.0</v>
      </c>
      <c r="F4" s="4">
        <v>125.0</v>
      </c>
      <c r="G4" s="4">
        <v>515.0</v>
      </c>
      <c r="H4" s="5">
        <v>1287.5</v>
      </c>
    </row>
    <row r="5" ht="14.25" customHeight="1">
      <c r="A5" s="2" t="s">
        <v>11</v>
      </c>
      <c r="B5" s="3">
        <v>3.0</v>
      </c>
      <c r="C5" s="4">
        <v>100.0</v>
      </c>
      <c r="D5" s="4">
        <v>110.0</v>
      </c>
      <c r="E5" s="4">
        <v>105.0</v>
      </c>
      <c r="F5" s="4">
        <v>95.0</v>
      </c>
      <c r="G5" s="4">
        <v>410.0</v>
      </c>
      <c r="H5" s="5">
        <v>1230.0</v>
      </c>
    </row>
    <row r="6" ht="14.25" customHeight="1">
      <c r="A6" s="2" t="s">
        <v>12</v>
      </c>
      <c r="B6" s="3">
        <v>4.0</v>
      </c>
      <c r="C6" s="4">
        <v>90.0</v>
      </c>
      <c r="D6" s="4">
        <v>80.0</v>
      </c>
      <c r="E6" s="4">
        <v>85.0</v>
      </c>
      <c r="F6" s="4">
        <v>100.0</v>
      </c>
      <c r="G6" s="4">
        <v>355.0</v>
      </c>
      <c r="H6" s="5">
        <v>1420.0</v>
      </c>
    </row>
    <row r="7" ht="14.25" customHeight="1">
      <c r="A7" s="2" t="s">
        <v>13</v>
      </c>
      <c r="B7" s="3">
        <v>3.5</v>
      </c>
      <c r="C7" s="4">
        <v>160.0</v>
      </c>
      <c r="D7" s="4">
        <v>170.0</v>
      </c>
      <c r="E7" s="4">
        <v>165.0</v>
      </c>
      <c r="F7" s="4">
        <v>155.0</v>
      </c>
      <c r="G7" s="4">
        <v>650.0</v>
      </c>
      <c r="H7" s="5">
        <v>2275.0</v>
      </c>
    </row>
    <row r="8" ht="14.25" customHeight="1">
      <c r="A8" s="2" t="s">
        <v>14</v>
      </c>
      <c r="B8" s="3">
        <v>2.75</v>
      </c>
      <c r="C8" s="4">
        <v>110.0</v>
      </c>
      <c r="D8" s="4">
        <v>120.0</v>
      </c>
      <c r="E8" s="4">
        <v>125.0</v>
      </c>
      <c r="F8" s="4">
        <v>130.0</v>
      </c>
      <c r="G8" s="4">
        <v>485.0</v>
      </c>
      <c r="H8" s="5">
        <v>1333.75</v>
      </c>
    </row>
    <row r="9" ht="14.25" customHeight="1">
      <c r="A9" s="2" t="s">
        <v>15</v>
      </c>
      <c r="B9" s="3">
        <v>5.0</v>
      </c>
      <c r="C9" s="4">
        <v>95.0</v>
      </c>
      <c r="D9" s="4">
        <v>100.0</v>
      </c>
      <c r="E9" s="4">
        <v>90.0</v>
      </c>
      <c r="F9" s="4">
        <v>85.0</v>
      </c>
      <c r="G9" s="4">
        <v>370.0</v>
      </c>
      <c r="H9" s="5">
        <v>1850.0</v>
      </c>
    </row>
    <row r="10" ht="14.25" customHeight="1"/>
    <row r="11" ht="14.25" customHeight="1">
      <c r="B11" s="7"/>
    </row>
    <row r="12" ht="14.25" customHeight="1">
      <c r="A12" s="8" t="s">
        <v>16</v>
      </c>
      <c r="B12" s="8" t="s">
        <v>17</v>
      </c>
      <c r="C12" s="8" t="s">
        <v>18</v>
      </c>
      <c r="D12" s="8" t="s">
        <v>19</v>
      </c>
      <c r="E12" s="8" t="s">
        <v>20</v>
      </c>
      <c r="F12" s="8" t="s">
        <v>21</v>
      </c>
      <c r="G12" s="8" t="s">
        <v>22</v>
      </c>
      <c r="H12" s="8" t="s">
        <v>23</v>
      </c>
      <c r="I12" s="8" t="s">
        <v>24</v>
      </c>
    </row>
    <row r="13" ht="14.25" customHeight="1">
      <c r="A13" s="9">
        <f>AVERAGE(G2:G9)</f>
        <v>515</v>
      </c>
      <c r="B13" s="10">
        <f>MEDIAN(G2:G9)</f>
        <v>500</v>
      </c>
      <c r="C13" s="11">
        <f>VAR(G2:G9)</f>
        <v>17914.28571</v>
      </c>
      <c r="D13" s="11">
        <f>STDEV(G2:G9)</f>
        <v>133.8442592</v>
      </c>
      <c r="E13" s="9">
        <f>MAX(G2:G9)</f>
        <v>700</v>
      </c>
      <c r="F13" s="11">
        <f>QUARTILE(G2:G9,1)</f>
        <v>400</v>
      </c>
      <c r="G13" s="11">
        <f>QUARTILE(G2:G9,3)</f>
        <v>638.75</v>
      </c>
      <c r="H13" s="11">
        <f>_xlfn.QUARTILE.INC(G2:G9,3)-_xlfn.QUARTILE.INC(G2:G9,1)</f>
        <v>238.75</v>
      </c>
      <c r="I13" s="11">
        <f>TTEST((C7:F7),(C9:F9),2,3)</f>
        <v>0.00000485585037</v>
      </c>
    </row>
    <row r="14" ht="14.25" customHeight="1">
      <c r="E14" s="9">
        <f>MIN(G2:G9)</f>
        <v>355</v>
      </c>
    </row>
    <row r="15" ht="14.25" customHeight="1">
      <c r="E15" s="12">
        <v>345.0</v>
      </c>
    </row>
    <row r="16" ht="14.25" customHeight="1"/>
    <row r="17" ht="14.25" customHeight="1">
      <c r="A17" s="13" t="s">
        <v>25</v>
      </c>
    </row>
    <row r="18" ht="14.25" customHeight="1">
      <c r="A18" s="11">
        <f>CORREL(B2:B9,G2:G9)</f>
        <v>-0.7351784134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B2:H9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2024-09-10T09:25:16Z</dcterms:created>
  <dc:creator>Cheryl Pawluk</dc:creator>
</cp:coreProperties>
</file>